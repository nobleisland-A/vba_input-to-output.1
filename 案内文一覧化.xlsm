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3582827b9c7909c/デスクトップ/"/>
    </mc:Choice>
  </mc:AlternateContent>
  <xr:revisionPtr revIDLastSave="8" documentId="8_{C04EA6F3-5C74-4CC6-A224-41C6312950C1}" xr6:coauthVersionLast="47" xr6:coauthVersionMax="47" xr10:uidLastSave="{92E20552-CA1A-4647-9FBC-26FC4B07156F}"/>
  <bookViews>
    <workbookView xWindow="-105" yWindow="60" windowWidth="11760" windowHeight="7875" activeTab="3" xr2:uid="{3A430293-3CDF-4177-A7F5-3C5F22014C1F}"/>
  </bookViews>
  <sheets>
    <sheet name="入力" sheetId="2" r:id="rId1"/>
    <sheet name="一覧" sheetId="3" r:id="rId2"/>
    <sheet name="参考" sheetId="4" r:id="rId3"/>
    <sheet name="案内文" sheetId="1" r:id="rId4"/>
  </sheets>
  <definedNames>
    <definedName name="_xlnm.Print_Area" localSheetId="3">案内文!$A$1:$W$31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1" l="1"/>
  <c r="D21" i="1"/>
  <c r="D18" i="1"/>
  <c r="D17" i="1"/>
  <c r="D16" i="1"/>
  <c r="D15" i="1"/>
  <c r="D14" i="1"/>
  <c r="D13" i="1"/>
  <c r="E5" i="1"/>
  <c r="C3" i="1"/>
</calcChain>
</file>

<file path=xl/sharedStrings.xml><?xml version="1.0" encoding="utf-8"?>
<sst xmlns="http://schemas.openxmlformats.org/spreadsheetml/2006/main" count="44" uniqueCount="31">
  <si>
    <t>様</t>
    <rPh sb="0" eb="1">
      <t>サマ</t>
    </rPh>
    <phoneticPr fontId="1"/>
  </si>
  <si>
    <t>送付物一覧</t>
    <rPh sb="0" eb="3">
      <t>ソウフブツ</t>
    </rPh>
    <rPh sb="3" eb="5">
      <t>イチラン</t>
    </rPh>
    <phoneticPr fontId="1"/>
  </si>
  <si>
    <t>備考</t>
    <rPh sb="0" eb="2">
      <t>ビコウ</t>
    </rPh>
    <phoneticPr fontId="1"/>
  </si>
  <si>
    <t>へのごあんない</t>
    <phoneticPr fontId="1"/>
  </si>
  <si>
    <t>問い合わせ先</t>
    <rPh sb="0" eb="1">
      <t>ト</t>
    </rPh>
    <rPh sb="2" eb="3">
      <t>ア</t>
    </rPh>
    <rPh sb="5" eb="6">
      <t>サキ</t>
    </rPh>
    <phoneticPr fontId="1"/>
  </si>
  <si>
    <t>推進対象者名</t>
    <rPh sb="0" eb="6">
      <t>スイシンタイショウシャメイ</t>
    </rPh>
    <phoneticPr fontId="1"/>
  </si>
  <si>
    <t>案内文</t>
    <rPh sb="0" eb="3">
      <t>アンナイブン</t>
    </rPh>
    <phoneticPr fontId="1"/>
  </si>
  <si>
    <t>部数</t>
    <rPh sb="0" eb="2">
      <t>ブスウ</t>
    </rPh>
    <phoneticPr fontId="1"/>
  </si>
  <si>
    <t>送付物①</t>
    <rPh sb="0" eb="3">
      <t>ソウフブツ</t>
    </rPh>
    <phoneticPr fontId="1"/>
  </si>
  <si>
    <t>送付物②</t>
    <rPh sb="0" eb="3">
      <t>ソウフブツ</t>
    </rPh>
    <phoneticPr fontId="1"/>
  </si>
  <si>
    <t>送付物③</t>
    <rPh sb="0" eb="3">
      <t>ソウフブツ</t>
    </rPh>
    <phoneticPr fontId="1"/>
  </si>
  <si>
    <t>送付物④</t>
    <rPh sb="0" eb="3">
      <t>ソウフブツ</t>
    </rPh>
    <phoneticPr fontId="1"/>
  </si>
  <si>
    <t>送付物⑤</t>
    <rPh sb="0" eb="3">
      <t>ソウフブツ</t>
    </rPh>
    <phoneticPr fontId="1"/>
  </si>
  <si>
    <t>送付物⑥</t>
    <rPh sb="0" eb="3">
      <t>ソウフブツ</t>
    </rPh>
    <phoneticPr fontId="1"/>
  </si>
  <si>
    <t>列1</t>
  </si>
  <si>
    <t>山田　一郎</t>
  </si>
  <si>
    <t>こんにちは</t>
  </si>
  <si>
    <t>日付</t>
    <rPh sb="0" eb="2">
      <t>ヒヅケ</t>
    </rPh>
    <phoneticPr fontId="1"/>
  </si>
  <si>
    <t>田中　一郎</t>
  </si>
  <si>
    <t>詳しくはお問い合わせください</t>
  </si>
  <si>
    <t>渋谷店</t>
  </si>
  <si>
    <t>小林　一郎</t>
  </si>
  <si>
    <t>いつもお世話になっております</t>
  </si>
  <si>
    <t>内容をご確認いただき、返信用封筒で返信をお願いします。</t>
  </si>
  <si>
    <t>新宿店</t>
  </si>
  <si>
    <t>いつもお世話になっております。</t>
  </si>
  <si>
    <t>お気軽にご来店ください。</t>
  </si>
  <si>
    <t>練馬店</t>
  </si>
  <si>
    <t>山本　太郎</t>
  </si>
  <si>
    <t>よろしくお願いします。</t>
  </si>
  <si>
    <t>青山店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</si>
</sst>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vertical="center" wrapText="1"/>
    </xf>
    <xf numFmtId="0" fontId="0" fillId="2" borderId="2" xfId="0" applyFill="1" applyBorder="1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1"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57150</xdr:rowOff>
        </xdr:from>
        <xdr:to>
          <xdr:col>7</xdr:col>
          <xdr:colOff>523875</xdr:colOff>
          <xdr:row>6</xdr:row>
          <xdr:rowOff>209550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対象者入力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190500</xdr:colOff>
          <xdr:row>6</xdr:row>
          <xdr:rowOff>133350</xdr:rowOff>
        </xdr:from>
        <xdr:to>
          <xdr:col>27</xdr:col>
          <xdr:colOff>161925</xdr:colOff>
          <xdr:row>9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1C8CD26-93C3-41DD-9069-A030A858773A}" name="テーブル1" displayName="テーブル1" ref="A1:L5" totalsRowShown="0">
  <autoFilter ref="A1:L5" xr:uid="{41C8CD26-93C3-41DD-9069-A030A858773A}"/>
  <tableColumns count="12">
    <tableColumn id="1" xr3:uid="{759B994C-32B2-4539-9BDD-4F9E98BF0951}" name="列1"/>
    <tableColumn id="12" xr3:uid="{0ABA7FDF-FF54-403B-A240-DCADB64830AF}" name="日付"/>
    <tableColumn id="2" xr3:uid="{73798B33-6DB8-4946-B85F-555EA4CB1E81}" name="推進対象者名"/>
    <tableColumn id="3" xr3:uid="{A924D50C-C94B-4C97-A458-1574952FF47F}" name="案内文" dataDxfId="0"/>
    <tableColumn id="4" xr3:uid="{57FD5833-58AC-4B28-82CA-D1496B31D07E}" name="送付物①"/>
    <tableColumn id="5" xr3:uid="{FDE37B8E-172E-44FD-90B1-84564A71F7CD}" name="送付物②"/>
    <tableColumn id="6" xr3:uid="{7041B52D-590E-4392-BBF9-D3F0281EE8F7}" name="送付物③"/>
    <tableColumn id="7" xr3:uid="{4C901410-5F82-4A9C-B7A7-F329ED41BC53}" name="送付物④"/>
    <tableColumn id="8" xr3:uid="{E6A55E73-B2F9-4A8D-A53E-AF1D2EF020A9}" name="送付物⑤"/>
    <tableColumn id="9" xr3:uid="{46378393-2486-446A-9485-04A244705241}" name="送付物⑥"/>
    <tableColumn id="10" xr3:uid="{3E928965-366B-4CED-A4BF-C82FB5146FAA}" name="備考"/>
    <tableColumn id="11" xr3:uid="{4DD6152F-B708-40E0-B16A-E103504ACA79}" name="問い合わせ先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70F7F-49B5-4347-AA06-33BCEC7050DF}">
  <sheetPr codeName="Sheet1"/>
  <dimension ref="B3:D13"/>
  <sheetViews>
    <sheetView workbookViewId="0">
      <selection activeCell="D13" sqref="D13"/>
    </sheetView>
  </sheetViews>
  <sheetFormatPr defaultRowHeight="18.75" x14ac:dyDescent="0.4"/>
  <cols>
    <col min="2" max="2" width="13" bestFit="1" customWidth="1"/>
    <col min="3" max="3" width="19.125" customWidth="1"/>
  </cols>
  <sheetData>
    <row r="3" spans="2:4" x14ac:dyDescent="0.4">
      <c r="D3" t="s">
        <v>7</v>
      </c>
    </row>
    <row r="4" spans="2:4" x14ac:dyDescent="0.4">
      <c r="B4" s="2" t="s">
        <v>5</v>
      </c>
      <c r="C4" s="2"/>
      <c r="D4" s="2"/>
    </row>
    <row r="5" spans="2:4" x14ac:dyDescent="0.4">
      <c r="B5" s="2" t="s">
        <v>6</v>
      </c>
      <c r="C5" s="2"/>
      <c r="D5" s="2"/>
    </row>
    <row r="6" spans="2:4" x14ac:dyDescent="0.4">
      <c r="B6" s="2" t="s">
        <v>8</v>
      </c>
      <c r="C6" s="2"/>
      <c r="D6" s="2"/>
    </row>
    <row r="7" spans="2:4" x14ac:dyDescent="0.4">
      <c r="B7" s="2" t="s">
        <v>9</v>
      </c>
      <c r="C7" s="2"/>
      <c r="D7" s="2"/>
    </row>
    <row r="8" spans="2:4" x14ac:dyDescent="0.4">
      <c r="B8" s="2" t="s">
        <v>10</v>
      </c>
      <c r="C8" s="2"/>
      <c r="D8" s="2"/>
    </row>
    <row r="9" spans="2:4" x14ac:dyDescent="0.4">
      <c r="B9" s="2" t="s">
        <v>11</v>
      </c>
      <c r="C9" s="2"/>
      <c r="D9" s="2"/>
    </row>
    <row r="10" spans="2:4" x14ac:dyDescent="0.4">
      <c r="B10" s="2" t="s">
        <v>12</v>
      </c>
      <c r="C10" s="2"/>
      <c r="D10" s="2"/>
    </row>
    <row r="11" spans="2:4" x14ac:dyDescent="0.4">
      <c r="B11" s="2" t="s">
        <v>13</v>
      </c>
      <c r="C11" s="2"/>
      <c r="D11" s="2"/>
    </row>
    <row r="12" spans="2:4" x14ac:dyDescent="0.4">
      <c r="B12" s="2" t="s">
        <v>2</v>
      </c>
      <c r="C12" s="2"/>
      <c r="D12" s="2"/>
    </row>
    <row r="13" spans="2:4" x14ac:dyDescent="0.4">
      <c r="B13" s="2" t="s">
        <v>4</v>
      </c>
      <c r="C13" s="2"/>
      <c r="D13" s="2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対象者入力">
                <anchor moveWithCells="1" sizeWithCells="1">
                  <from>
                    <xdr:col>5</xdr:col>
                    <xdr:colOff>0</xdr:colOff>
                    <xdr:row>3</xdr:row>
                    <xdr:rowOff>57150</xdr:rowOff>
                  </from>
                  <to>
                    <xdr:col>7</xdr:col>
                    <xdr:colOff>523875</xdr:colOff>
                    <xdr:row>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F6884F-0BDD-4E93-9FC5-FE18340068F7}">
  <sheetPr codeName="Sheet2"/>
  <dimension ref="A1:L5"/>
  <sheetViews>
    <sheetView workbookViewId="0">
      <selection activeCell="A6" sqref="A6"/>
    </sheetView>
  </sheetViews>
  <sheetFormatPr defaultRowHeight="18.75" x14ac:dyDescent="0.4"/>
  <cols>
    <col min="1" max="1" width="6.75" bestFit="1" customWidth="1"/>
    <col min="2" max="2" width="9.25" style="1" bestFit="1" customWidth="1"/>
    <col min="3" max="3" width="14" customWidth="1"/>
    <col min="4" max="4" width="22.75" style="3" customWidth="1"/>
    <col min="5" max="5" width="11.875" customWidth="1"/>
    <col min="6" max="6" width="11.25" bestFit="1" customWidth="1"/>
    <col min="7" max="10" width="10.25" customWidth="1"/>
    <col min="11" max="11" width="31.75" bestFit="1" customWidth="1"/>
    <col min="12" max="12" width="15.25" bestFit="1" customWidth="1"/>
  </cols>
  <sheetData>
    <row r="1" spans="1:12" x14ac:dyDescent="0.4">
      <c r="A1" t="s">
        <v>14</v>
      </c>
      <c r="B1" s="1" t="s">
        <v>17</v>
      </c>
      <c r="C1" t="s">
        <v>5</v>
      </c>
      <c r="D1" s="3" t="s">
        <v>6</v>
      </c>
      <c r="E1" t="s">
        <v>8</v>
      </c>
      <c r="F1" t="s">
        <v>9</v>
      </c>
      <c r="G1" t="s">
        <v>10</v>
      </c>
      <c r="H1" t="s">
        <v>11</v>
      </c>
      <c r="I1" t="s">
        <v>12</v>
      </c>
      <c r="J1" t="s">
        <v>13</v>
      </c>
      <c r="K1" t="s">
        <v>2</v>
      </c>
      <c r="L1" t="s">
        <v>4</v>
      </c>
    </row>
    <row r="2" spans="1:12" x14ac:dyDescent="0.4">
      <c r="A2">
        <v>1</v>
      </c>
      <c r="B2" s="10">
        <v>44567</v>
      </c>
      <c r="C2" t="s">
        <v>18</v>
      </c>
      <c r="D2" s="3" t="s">
        <v>16</v>
      </c>
      <c r="K2" t="s">
        <v>19</v>
      </c>
      <c r="L2" t="s">
        <v>20</v>
      </c>
    </row>
    <row r="3" spans="1:12" ht="37.5" x14ac:dyDescent="0.4">
      <c r="A3">
        <v>2</v>
      </c>
      <c r="B3" s="10">
        <v>44567</v>
      </c>
      <c r="C3" t="s">
        <v>21</v>
      </c>
      <c r="D3" s="3" t="s">
        <v>22</v>
      </c>
      <c r="K3" t="s">
        <v>23</v>
      </c>
      <c r="L3" t="s">
        <v>24</v>
      </c>
    </row>
    <row r="4" spans="1:12" ht="37.5" x14ac:dyDescent="0.4">
      <c r="A4">
        <v>3</v>
      </c>
      <c r="B4" s="10">
        <v>44567</v>
      </c>
      <c r="C4" t="s">
        <v>15</v>
      </c>
      <c r="D4" s="3" t="s">
        <v>25</v>
      </c>
      <c r="K4" t="s">
        <v>26</v>
      </c>
      <c r="L4" t="s">
        <v>27</v>
      </c>
    </row>
    <row r="5" spans="1:12" x14ac:dyDescent="0.4">
      <c r="A5">
        <v>4</v>
      </c>
      <c r="B5" s="10">
        <v>44567</v>
      </c>
      <c r="C5" t="s">
        <v>28</v>
      </c>
      <c r="D5" s="3" t="s">
        <v>16</v>
      </c>
      <c r="K5" t="s">
        <v>29</v>
      </c>
      <c r="L5" t="s">
        <v>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136BD-64DC-4E5F-90A2-F1BC5743F404}">
  <sheetPr codeName="Sheet4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31446-CC61-4918-AA43-D085CEE2C267}">
  <sheetPr codeName="Sheet3"/>
  <dimension ref="C1:AA28"/>
  <sheetViews>
    <sheetView tabSelected="1" view="pageBreakPreview" topLeftCell="J1" zoomScale="115" zoomScaleNormal="100" zoomScaleSheetLayoutView="115" workbookViewId="0">
      <selection activeCell="N3" sqref="N3"/>
    </sheetView>
  </sheetViews>
  <sheetFormatPr defaultRowHeight="18.75" x14ac:dyDescent="0.4"/>
  <cols>
    <col min="1" max="2" width="1.625" customWidth="1"/>
    <col min="3" max="21" width="3.625" customWidth="1"/>
    <col min="22" max="23" width="1.625" customWidth="1"/>
    <col min="24" max="44" width="3.625" customWidth="1"/>
  </cols>
  <sheetData>
    <row r="1" spans="3:27" ht="9.75" customHeight="1" x14ac:dyDescent="0.4"/>
    <row r="2" spans="3:27" ht="9.75" customHeight="1" x14ac:dyDescent="0.4"/>
    <row r="3" spans="3:27" x14ac:dyDescent="0.4">
      <c r="C3" s="9" t="str">
        <f>VLOOKUP($AA$3,一覧!A1:L5,3,FALSE)</f>
        <v>山本　太郎</v>
      </c>
      <c r="D3" s="9"/>
      <c r="E3" s="9"/>
      <c r="F3" s="9"/>
      <c r="G3" s="9"/>
      <c r="H3" t="s">
        <v>0</v>
      </c>
      <c r="J3" t="s">
        <v>3</v>
      </c>
      <c r="Y3" s="2">
        <v>1</v>
      </c>
      <c r="AA3" s="4">
        <v>4</v>
      </c>
    </row>
    <row r="5" spans="3:27" x14ac:dyDescent="0.4">
      <c r="E5" s="7" t="str">
        <f>VLOOKUP($AA$3,一覧!A1:L5,4,FALSE)</f>
        <v>こんにちは</v>
      </c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Y5" s="2">
        <v>4</v>
      </c>
    </row>
    <row r="6" spans="3:27" x14ac:dyDescent="0.4"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3:27" x14ac:dyDescent="0.4"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</row>
    <row r="8" spans="3:27" x14ac:dyDescent="0.4"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3:27" x14ac:dyDescent="0.4"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3:27" x14ac:dyDescent="0.4"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2" spans="3:27" x14ac:dyDescent="0.4">
      <c r="C12" t="s">
        <v>1</v>
      </c>
    </row>
    <row r="13" spans="3:27" x14ac:dyDescent="0.4">
      <c r="D13" s="7">
        <f>IFERROR(VLOOKUP($AA$3,一覧!A1:L5,5,FALSE),"")</f>
        <v>0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6"/>
      <c r="R13" s="6"/>
      <c r="S13" s="6"/>
    </row>
    <row r="14" spans="3:27" x14ac:dyDescent="0.4">
      <c r="D14" s="7">
        <f>IFERROR(VLOOKUP($AA$3,一覧!A1:L5,6,FALSE),"")</f>
        <v>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8"/>
      <c r="R14" s="8"/>
      <c r="S14" s="8"/>
    </row>
    <row r="15" spans="3:27" x14ac:dyDescent="0.4">
      <c r="D15" s="7">
        <f>IFERROR(VLOOKUP($AA$3,一覧!A1:L5,7,FALSE),"")</f>
        <v>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8"/>
      <c r="R15" s="8"/>
      <c r="S15" s="8"/>
    </row>
    <row r="16" spans="3:27" x14ac:dyDescent="0.4">
      <c r="D16" s="7" t="str">
        <f>IF(VLOOKUP($AA$3,一覧!A1:L5,8,FALSE),"","")</f>
        <v/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8"/>
      <c r="R16" s="8"/>
      <c r="S16" s="8"/>
    </row>
    <row r="17" spans="3:21" x14ac:dyDescent="0.4">
      <c r="D17" s="7" t="str">
        <f>IF(VLOOKUP($AA$3,一覧!A1:L5,9,FALSE),"","")</f>
        <v/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8"/>
      <c r="R17" s="8"/>
      <c r="S17" s="8"/>
    </row>
    <row r="18" spans="3:21" x14ac:dyDescent="0.4">
      <c r="D18" s="7" t="str">
        <f>IF(VLOOKUP($AA$3,一覧!A1:L5,10,FALSE),"","")</f>
        <v/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8"/>
      <c r="R18" s="8"/>
      <c r="S18" s="8"/>
    </row>
    <row r="20" spans="3:21" x14ac:dyDescent="0.4">
      <c r="C20" t="s">
        <v>2</v>
      </c>
    </row>
    <row r="21" spans="3:21" x14ac:dyDescent="0.4">
      <c r="D21" s="5" t="str">
        <f>IFERROR(VLOOKUP($AA$3,一覧!A1:L5,11,FALSE),"")</f>
        <v>よろしくお願いします。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3:21" x14ac:dyDescent="0.4"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3:21" x14ac:dyDescent="0.4"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6" spans="3:21" x14ac:dyDescent="0.4">
      <c r="C26" t="s">
        <v>4</v>
      </c>
    </row>
    <row r="27" spans="3:21" x14ac:dyDescent="0.4">
      <c r="C27" s="6" t="str">
        <f>IFERROR(VLOOKUP($AA$3,一覧!A1:L5,12,FALSE),"")</f>
        <v>青山店</v>
      </c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3:21" x14ac:dyDescent="0.4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</sheetData>
  <mergeCells count="16">
    <mergeCell ref="C3:G3"/>
    <mergeCell ref="E5:S10"/>
    <mergeCell ref="D13:P13"/>
    <mergeCell ref="Q13:S13"/>
    <mergeCell ref="D21:T23"/>
    <mergeCell ref="C27:U28"/>
    <mergeCell ref="D14:P14"/>
    <mergeCell ref="D15:P15"/>
    <mergeCell ref="D16:P16"/>
    <mergeCell ref="D17:P17"/>
    <mergeCell ref="D18:P18"/>
    <mergeCell ref="Q14:S14"/>
    <mergeCell ref="Q15:S15"/>
    <mergeCell ref="Q16:S16"/>
    <mergeCell ref="Q17:S17"/>
    <mergeCell ref="Q18:S18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連続印刷2">
                <anchor moveWithCells="1" sizeWithCells="1">
                  <from>
                    <xdr:col>24</xdr:col>
                    <xdr:colOff>190500</xdr:colOff>
                    <xdr:row>6</xdr:row>
                    <xdr:rowOff>133350</xdr:rowOff>
                  </from>
                  <to>
                    <xdr:col>27</xdr:col>
                    <xdr:colOff>161925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入力</vt:lpstr>
      <vt:lpstr>一覧</vt:lpstr>
      <vt:lpstr>参考</vt:lpstr>
      <vt:lpstr>案内文</vt:lpstr>
      <vt:lpstr>案内文!Print_Area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Kijima</dc:creator>
  <cp:lastModifiedBy>貴島 愛香</cp:lastModifiedBy>
  <cp:lastPrinted>2022-01-06T02:56:26Z</cp:lastPrinted>
  <dcterms:created xsi:type="dcterms:W3CDTF">2022-01-05T14:35:56Z</dcterms:created>
  <dcterms:modified xsi:type="dcterms:W3CDTF">2022-01-06T02:56:36Z</dcterms:modified>
</cp:coreProperties>
</file>